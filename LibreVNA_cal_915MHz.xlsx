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eVNA Cal 915M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2" fontId="4" fillId="5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5" borderId="1" pivotButton="0" quotePrefix="0" xfId="0"/>
    <xf numFmtId="0" fontId="7" fillId="0" borderId="0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30" customWidth="1" min="5" max="5"/>
  </cols>
  <sheetData>
    <row r="1" ht="26" customHeight="1">
      <c r="A1" s="1" t="inlineStr">
        <is>
          <t>LibreVNA Output Power Calibration  —  915 MHz</t>
        </is>
      </c>
    </row>
    <row r="3">
      <c r="A3" s="2" t="inlineStr">
        <is>
          <t>Setup / Conditions</t>
        </is>
      </c>
    </row>
    <row r="4">
      <c r="A4" s="3" t="inlineStr">
        <is>
          <t>Date</t>
        </is>
      </c>
      <c r="B4" s="4" t="inlineStr">
        <is>
          <t>2026-06-17</t>
        </is>
      </c>
      <c r="C4" s="5" t="n"/>
      <c r="D4" s="5" t="n"/>
      <c r="E4" s="5" t="n"/>
    </row>
    <row r="5">
      <c r="A5" s="3" t="inlineStr">
        <is>
          <t>Operator</t>
        </is>
      </c>
      <c r="B5" s="4" t="inlineStr"/>
      <c r="C5" s="5" t="n"/>
      <c r="D5" s="5" t="n"/>
      <c r="E5" s="5" t="n"/>
    </row>
    <row r="6">
      <c r="A6" s="3" t="inlineStr">
        <is>
          <t>Test frequency (MHz)</t>
        </is>
      </c>
      <c r="B6" s="4" t="n">
        <v>915</v>
      </c>
      <c r="C6" s="5" t="n"/>
      <c r="D6" s="5" t="n"/>
      <c r="E6" s="5" t="n"/>
    </row>
    <row r="7">
      <c r="A7" s="3" t="inlineStr">
        <is>
          <t>Reference plane</t>
        </is>
      </c>
      <c r="B7" s="4" t="inlineStr">
        <is>
          <t>VNA cable end @ PCB connector</t>
        </is>
      </c>
      <c r="C7" s="5" t="n"/>
      <c r="D7" s="5" t="n"/>
      <c r="E7" s="5" t="n"/>
    </row>
    <row r="8">
      <c r="A8" s="3" t="inlineStr">
        <is>
          <t>Power meter</t>
        </is>
      </c>
      <c r="B8" s="4" t="inlineStr">
        <is>
          <t>HP 438A</t>
        </is>
      </c>
      <c r="C8" s="5" t="n"/>
      <c r="D8" s="5" t="n"/>
      <c r="E8" s="5" t="n"/>
    </row>
    <row r="9">
      <c r="A9" s="3" t="inlineStr">
        <is>
          <t>Sensor</t>
        </is>
      </c>
      <c r="B9" s="4" t="inlineStr">
        <is>
          <t>HP 8481A</t>
        </is>
      </c>
      <c r="C9" s="5" t="n"/>
      <c r="D9" s="5" t="n"/>
      <c r="E9" s="5" t="n"/>
    </row>
    <row r="10">
      <c r="A10" s="3" t="inlineStr">
        <is>
          <t>Ref cal factor @ 50 MHz (%)</t>
        </is>
      </c>
      <c r="B10" s="4" t="n">
        <v>100</v>
      </c>
      <c r="C10" s="5" t="n"/>
      <c r="D10" s="5" t="n"/>
      <c r="E10" s="5" t="n"/>
    </row>
    <row r="11">
      <c r="A11" s="3" t="inlineStr">
        <is>
          <t>Meas cal factor @ 915 MHz (%)</t>
        </is>
      </c>
      <c r="B11" s="4" t="n">
        <v>99</v>
      </c>
      <c r="C11" s="5" t="n"/>
      <c r="D11" s="5" t="n"/>
      <c r="E11" s="5" t="n"/>
    </row>
    <row r="12">
      <c r="A12" s="3" t="inlineStr">
        <is>
          <t>Cable / adapter notes</t>
        </is>
      </c>
      <c r="B12" s="4" t="inlineStr"/>
      <c r="C12" s="5" t="n"/>
      <c r="D12" s="5" t="n"/>
      <c r="E12" s="5" t="n"/>
    </row>
    <row r="13">
      <c r="A13" s="3" t="inlineStr">
        <is>
          <t>Avg / settling notes</t>
        </is>
      </c>
      <c r="B13" s="4" t="inlineStr">
        <is>
          <t>increase averaging below -25 dBm; re-zero first</t>
        </is>
      </c>
      <c r="C13" s="5" t="n"/>
      <c r="D13" s="5" t="n"/>
      <c r="E13" s="5" t="n"/>
    </row>
    <row r="15" ht="30" customHeight="1">
      <c r="A15" s="6" t="inlineStr">
        <is>
          <t>VNA set (dBm)</t>
        </is>
      </c>
      <c r="B15" s="6" t="inlineStr">
        <is>
          <t>HP 438A reading (dBm)</t>
        </is>
      </c>
      <c r="C15" s="6" t="inlineStr">
        <is>
          <t>Delta (dBm)</t>
        </is>
      </c>
      <c r="D15" s="6" t="inlineStr">
        <is>
          <t>Re-zeroed?</t>
        </is>
      </c>
      <c r="E15" s="6" t="inlineStr">
        <is>
          <t>Notes</t>
        </is>
      </c>
    </row>
    <row r="16">
      <c r="A16" s="7" t="n">
        <v>0</v>
      </c>
      <c r="B16" s="8" t="n"/>
      <c r="C16" s="9">
        <f>IF(B16="","",B16-A16)</f>
        <v/>
      </c>
      <c r="D16" s="10" t="n"/>
      <c r="E16" s="11" t="n"/>
    </row>
    <row r="17">
      <c r="A17" s="7" t="n">
        <v>-1</v>
      </c>
      <c r="B17" s="8" t="n"/>
      <c r="C17" s="9">
        <f>IF(B17="","",B17-A17)</f>
        <v/>
      </c>
      <c r="D17" s="10" t="n"/>
      <c r="E17" s="11" t="n"/>
    </row>
    <row r="18">
      <c r="A18" s="7" t="n">
        <v>-2</v>
      </c>
      <c r="B18" s="8" t="n"/>
      <c r="C18" s="9">
        <f>IF(B18="","",B18-A18)</f>
        <v/>
      </c>
      <c r="D18" s="10" t="n"/>
      <c r="E18" s="11" t="n"/>
    </row>
    <row r="19">
      <c r="A19" s="7" t="n">
        <v>-3</v>
      </c>
      <c r="B19" s="8" t="n"/>
      <c r="C19" s="9">
        <f>IF(B19="","",B19-A19)</f>
        <v/>
      </c>
      <c r="D19" s="10" t="n"/>
      <c r="E19" s="11" t="n"/>
    </row>
    <row r="20">
      <c r="A20" s="7" t="n">
        <v>-4</v>
      </c>
      <c r="B20" s="8" t="n"/>
      <c r="C20" s="9">
        <f>IF(B20="","",B20-A20)</f>
        <v/>
      </c>
      <c r="D20" s="10" t="n"/>
      <c r="E20" s="11" t="n"/>
    </row>
    <row r="21">
      <c r="A21" s="7" t="n">
        <v>-5</v>
      </c>
      <c r="B21" s="8" t="n"/>
      <c r="C21" s="9">
        <f>IF(B21="","",B21-A21)</f>
        <v/>
      </c>
      <c r="D21" s="10" t="n"/>
      <c r="E21" s="11" t="n"/>
    </row>
    <row r="22">
      <c r="A22" s="7" t="n">
        <v>-6</v>
      </c>
      <c r="B22" s="8" t="n"/>
      <c r="C22" s="9">
        <f>IF(B22="","",B22-A22)</f>
        <v/>
      </c>
      <c r="D22" s="10" t="n"/>
      <c r="E22" s="11" t="n"/>
    </row>
    <row r="23">
      <c r="A23" s="7" t="n">
        <v>-7</v>
      </c>
      <c r="B23" s="8" t="n"/>
      <c r="C23" s="9">
        <f>IF(B23="","",B23-A23)</f>
        <v/>
      </c>
      <c r="D23" s="10" t="n"/>
      <c r="E23" s="11" t="n"/>
    </row>
    <row r="24">
      <c r="A24" s="7" t="n">
        <v>-8</v>
      </c>
      <c r="B24" s="8" t="n"/>
      <c r="C24" s="9">
        <f>IF(B24="","",B24-A24)</f>
        <v/>
      </c>
      <c r="D24" s="10" t="n"/>
      <c r="E24" s="11" t="n"/>
    </row>
    <row r="25">
      <c r="A25" s="7" t="n">
        <v>-9</v>
      </c>
      <c r="B25" s="8" t="n"/>
      <c r="C25" s="9">
        <f>IF(B25="","",B25-A25)</f>
        <v/>
      </c>
      <c r="D25" s="10" t="n"/>
      <c r="E25" s="11" t="n"/>
    </row>
    <row r="26">
      <c r="A26" s="7" t="n">
        <v>-10</v>
      </c>
      <c r="B26" s="8" t="n"/>
      <c r="C26" s="9">
        <f>IF(B26="","",B26-A26)</f>
        <v/>
      </c>
      <c r="D26" s="10" t="n"/>
      <c r="E26" s="11" t="n"/>
    </row>
    <row r="27">
      <c r="A27" s="7" t="n">
        <v>-11</v>
      </c>
      <c r="B27" s="8" t="n"/>
      <c r="C27" s="9">
        <f>IF(B27="","",B27-A27)</f>
        <v/>
      </c>
      <c r="D27" s="10" t="n"/>
      <c r="E27" s="11" t="n"/>
    </row>
    <row r="28">
      <c r="A28" s="7" t="n">
        <v>-12</v>
      </c>
      <c r="B28" s="8" t="n"/>
      <c r="C28" s="9">
        <f>IF(B28="","",B28-A28)</f>
        <v/>
      </c>
      <c r="D28" s="10" t="n"/>
      <c r="E28" s="11" t="n"/>
    </row>
    <row r="29">
      <c r="A29" s="7" t="n">
        <v>-13</v>
      </c>
      <c r="B29" s="8" t="n"/>
      <c r="C29" s="9">
        <f>IF(B29="","",B29-A29)</f>
        <v/>
      </c>
      <c r="D29" s="10" t="n"/>
      <c r="E29" s="11" t="n"/>
    </row>
    <row r="30">
      <c r="A30" s="7" t="n">
        <v>-14</v>
      </c>
      <c r="B30" s="8" t="n"/>
      <c r="C30" s="9">
        <f>IF(B30="","",B30-A30)</f>
        <v/>
      </c>
      <c r="D30" s="10" t="n"/>
      <c r="E30" s="11" t="n"/>
    </row>
    <row r="31">
      <c r="A31" s="7" t="n">
        <v>-15</v>
      </c>
      <c r="B31" s="8" t="n"/>
      <c r="C31" s="9">
        <f>IF(B31="","",B31-A31)</f>
        <v/>
      </c>
      <c r="D31" s="10" t="n"/>
      <c r="E31" s="11" t="n"/>
    </row>
    <row r="32">
      <c r="A32" s="7" t="n">
        <v>-16</v>
      </c>
      <c r="B32" s="8" t="n"/>
      <c r="C32" s="9">
        <f>IF(B32="","",B32-A32)</f>
        <v/>
      </c>
      <c r="D32" s="10" t="n"/>
      <c r="E32" s="11" t="n"/>
    </row>
    <row r="33">
      <c r="A33" s="7" t="n">
        <v>-17</v>
      </c>
      <c r="B33" s="8" t="n"/>
      <c r="C33" s="9">
        <f>IF(B33="","",B33-A33)</f>
        <v/>
      </c>
      <c r="D33" s="10" t="n"/>
      <c r="E33" s="11" t="n"/>
    </row>
    <row r="34">
      <c r="A34" s="7" t="n">
        <v>-18</v>
      </c>
      <c r="B34" s="8" t="n"/>
      <c r="C34" s="9">
        <f>IF(B34="","",B34-A34)</f>
        <v/>
      </c>
      <c r="D34" s="10" t="n"/>
      <c r="E34" s="11" t="n"/>
    </row>
    <row r="35">
      <c r="A35" s="7" t="n">
        <v>-19</v>
      </c>
      <c r="B35" s="8" t="n"/>
      <c r="C35" s="9">
        <f>IF(B35="","",B35-A35)</f>
        <v/>
      </c>
      <c r="D35" s="10" t="n"/>
      <c r="E35" s="11" t="n"/>
    </row>
    <row r="36">
      <c r="A36" s="7" t="n">
        <v>-20</v>
      </c>
      <c r="B36" s="8" t="n"/>
      <c r="C36" s="9">
        <f>IF(B36="","",B36-A36)</f>
        <v/>
      </c>
      <c r="D36" s="10" t="n"/>
      <c r="E36" s="11" t="n"/>
    </row>
    <row r="37">
      <c r="A37" s="7" t="n">
        <v>-21</v>
      </c>
      <c r="B37" s="8" t="n"/>
      <c r="C37" s="9">
        <f>IF(B37="","",B37-A37)</f>
        <v/>
      </c>
      <c r="D37" s="10" t="n"/>
      <c r="E37" s="11" t="n"/>
    </row>
    <row r="38">
      <c r="A38" s="7" t="n">
        <v>-22</v>
      </c>
      <c r="B38" s="8" t="n"/>
      <c r="C38" s="9">
        <f>IF(B38="","",B38-A38)</f>
        <v/>
      </c>
      <c r="D38" s="10" t="n"/>
      <c r="E38" s="11" t="n"/>
    </row>
    <row r="39">
      <c r="A39" s="7" t="n">
        <v>-23</v>
      </c>
      <c r="B39" s="8" t="n"/>
      <c r="C39" s="9">
        <f>IF(B39="","",B39-A39)</f>
        <v/>
      </c>
      <c r="D39" s="10" t="n"/>
      <c r="E39" s="11" t="n"/>
    </row>
    <row r="40">
      <c r="A40" s="7" t="n">
        <v>-24</v>
      </c>
      <c r="B40" s="8" t="n"/>
      <c r="C40" s="9">
        <f>IF(B40="","",B40-A40)</f>
        <v/>
      </c>
      <c r="D40" s="10" t="n"/>
      <c r="E40" s="11" t="n"/>
    </row>
    <row r="41">
      <c r="A41" s="7" t="n">
        <v>-25</v>
      </c>
      <c r="B41" s="8" t="n"/>
      <c r="C41" s="9">
        <f>IF(B41="","",B41-A41)</f>
        <v/>
      </c>
      <c r="D41" s="10" t="n"/>
      <c r="E41" s="11" t="n"/>
    </row>
    <row r="42">
      <c r="A42" s="7" t="n">
        <v>-26</v>
      </c>
      <c r="B42" s="8" t="n"/>
      <c r="C42" s="9">
        <f>IF(B42="","",B42-A42)</f>
        <v/>
      </c>
      <c r="D42" s="10" t="n"/>
      <c r="E42" s="11" t="n"/>
    </row>
    <row r="43">
      <c r="A43" s="7" t="n">
        <v>-27</v>
      </c>
      <c r="B43" s="8" t="n"/>
      <c r="C43" s="9">
        <f>IF(B43="","",B43-A43)</f>
        <v/>
      </c>
      <c r="D43" s="10" t="n"/>
      <c r="E43" s="11" t="n"/>
    </row>
    <row r="44">
      <c r="A44" s="7" t="n">
        <v>-28</v>
      </c>
      <c r="B44" s="8" t="n"/>
      <c r="C44" s="9">
        <f>IF(B44="","",B44-A44)</f>
        <v/>
      </c>
      <c r="D44" s="10" t="n"/>
      <c r="E44" s="11" t="n"/>
    </row>
    <row r="45">
      <c r="A45" s="7" t="n">
        <v>-29</v>
      </c>
      <c r="B45" s="8" t="n"/>
      <c r="C45" s="9">
        <f>IF(B45="","",B45-A45)</f>
        <v/>
      </c>
      <c r="D45" s="10" t="n"/>
      <c r="E45" s="11" t="n"/>
    </row>
    <row r="46">
      <c r="A46" s="7" t="n">
        <v>-30</v>
      </c>
      <c r="B46" s="8" t="n"/>
      <c r="C46" s="9">
        <f>IF(B46="","",B46-A46)</f>
        <v/>
      </c>
      <c r="D46" s="10" t="n"/>
      <c r="E46" s="11" t="n"/>
    </row>
    <row r="48">
      <c r="A48" s="12" t="inlineStr">
        <is>
          <t>Summary</t>
        </is>
      </c>
    </row>
    <row r="49">
      <c r="A49" s="13" t="inlineStr">
        <is>
          <t>Mean delta (dBm)</t>
        </is>
      </c>
      <c r="B49" s="9">
        <f>IFERROR(AVERAGE(C16:C46),"")</f>
        <v/>
      </c>
    </row>
    <row r="50">
      <c r="A50" s="13" t="inlineStr">
        <is>
          <t>Min delta (dBm)</t>
        </is>
      </c>
      <c r="B50" s="9">
        <f>IFERROR(MIN(C16:C46),"")</f>
        <v/>
      </c>
    </row>
    <row r="51">
      <c r="A51" s="13" t="inlineStr">
        <is>
          <t>Max delta (dBm)</t>
        </is>
      </c>
      <c r="B51" s="9">
        <f>IFERROR(MAX(C16:C46),"")</f>
        <v/>
      </c>
    </row>
    <row r="52">
      <c r="A52" s="13" t="inlineStr">
        <is>
          <t>Delta span (dBm)</t>
        </is>
      </c>
      <c r="B52" s="9">
        <f>IFERROR(MAX(C16:C46)-MIN(C16:C46),"")</f>
        <v/>
      </c>
    </row>
    <row r="53">
      <c r="A53" s="13" t="inlineStr">
        <is>
          <t>Points entered</t>
        </is>
      </c>
      <c r="B53" s="9">
        <f>COUNT(B16:B46)</f>
        <v/>
      </c>
    </row>
  </sheetData>
  <mergeCells count="12">
    <mergeCell ref="B9:E9"/>
    <mergeCell ref="B8:E8"/>
    <mergeCell ref="B4:E4"/>
    <mergeCell ref="B12:E12"/>
    <mergeCell ref="B13:E13"/>
    <mergeCell ref="B6:E6"/>
    <mergeCell ref="B7:E7"/>
    <mergeCell ref="A1:E1"/>
    <mergeCell ref="B11:E11"/>
    <mergeCell ref="B5:E5"/>
    <mergeCell ref="B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2026-06-17T18:12:08Z</dcterms:created>
  <dcterms:modified xsi:type="dcterms:W3CDTF">2026-06-17T18:12:08Z</dcterms:modified>
</cp:coreProperties>
</file>